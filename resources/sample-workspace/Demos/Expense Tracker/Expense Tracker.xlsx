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Expense Tracker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$#,##0.00"/>
  </numFmts>
  <fonts count="13">
    <font>
      <name val="Calibri"/>
      <color theme="1"/>
      <sz val="11"/>
    </font>
    <font>
      <name val="Arial"/>
      <sz val="10"/>
    </font>
    <font>
      <name val="Cambria"/>
      <b val="1"/>
      <color rgb="FF2E5090"/>
      <sz val="14"/>
    </font>
    <font>
      <name val="Cambria"/>
      <color rgb="FF666666"/>
      <sz val="10"/>
    </font>
    <font>
      <name val="Cambria"/>
      <b val="1"/>
      <sz val="11"/>
    </font>
    <font>
      <name val="Cambria"/>
      <sz val="10"/>
    </font>
    <font>
      <name val="Cambria"/>
      <color indexed="4"/>
      <sz val="10"/>
    </font>
    <font>
      <name val="Cambria"/>
      <b val="1"/>
      <color rgb="FFCC6600"/>
      <sz val="11"/>
    </font>
    <font>
      <name val="Cambria"/>
      <color rgb="FFCC6600"/>
      <sz val="10"/>
    </font>
    <font>
      <name val="Cambria"/>
      <b val="1"/>
      <color rgb="FFCC6600"/>
      <sz val="10"/>
    </font>
    <font>
      <name val="Cambria"/>
      <b val="1"/>
      <color rgb="FF2E5090"/>
      <sz val="12"/>
    </font>
    <font>
      <name val="Cambria"/>
      <b val="1"/>
      <sz val="10"/>
    </font>
    <font>
      <name val="Cambria"/>
      <sz val="9"/>
    </font>
  </fonts>
  <fills count="5">
    <fill>
      <patternFill/>
    </fill>
    <fill>
      <patternFill patternType="gray125"/>
    </fill>
    <fill>
      <patternFill patternType="solid">
        <fgColor rgb="FF2E5090"/>
      </patternFill>
    </fill>
    <fill>
      <patternFill patternType="solid">
        <fgColor indexed="5"/>
      </patternFill>
    </fill>
    <fill>
      <patternFill patternType="solid">
        <fgColor rgb="FFFFF8DC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7" fillId="4" borderId="1" pivotButton="0" quotePrefix="0" xfId="0"/>
    <xf numFmtId="0" fontId="0" fillId="4" borderId="1" pivotButton="0" quotePrefix="0" xfId="0"/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1" pivotButton="0" quotePrefix="0" xfId="0"/>
    <xf numFmtId="164" fontId="11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12" fillId="0" borderId="1" pivotButton="0" quotePrefix="0" xfId="0"/>
    <xf numFmtId="164" fontId="1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00" workbookViewId="0">
      <selection activeCell="A1" activeCellId="0" sqref="A1"/>
    </sheetView>
  </sheetViews>
  <sheetFormatPr baseColWidth="8" defaultColWidth="8.684285714285711" defaultRowHeight="14.25"/>
  <cols>
    <col width="12" customWidth="1" min="1" max="1"/>
    <col width="20" customWidth="1" min="2" max="2"/>
    <col width="30" customWidth="1" min="3" max="3"/>
    <col width="18" customWidth="1" min="4" max="4"/>
    <col width="12" customWidth="1" min="5" max="5"/>
    <col width="16" customWidth="1" min="6" max="6"/>
    <col width="10" customWidth="1" min="7" max="7"/>
    <col width="25" customWidth="1" min="8" max="8"/>
  </cols>
  <sheetData>
    <row r="1" ht="18" customHeight="1">
      <c r="A1" s="1" t="inlineStr">
        <is>
          <t>MONTHLY EXPENSE TRACKER - October 2025</t>
        </is>
      </c>
    </row>
    <row r="2" ht="15" customHeight="1">
      <c r="A2" s="2" t="inlineStr">
        <is>
          <t>Employee: John Smith | Department: Marketing | Manager: Lisa Anderson</t>
        </is>
      </c>
    </row>
    <row r="4" ht="15" customHeight="1">
      <c r="A4" s="3" t="inlineStr">
        <is>
          <t>Date</t>
        </is>
      </c>
      <c r="B4" s="3" t="inlineStr">
        <is>
          <t>Vendor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Amount</t>
        </is>
      </c>
      <c r="F4" s="3" t="inlineStr">
        <is>
          <t>Payment Method</t>
        </is>
      </c>
      <c r="G4" s="3" t="inlineStr">
        <is>
          <t>Receipt</t>
        </is>
      </c>
      <c r="H4" s="3" t="inlineStr">
        <is>
          <t>Notes</t>
        </is>
      </c>
    </row>
    <row r="5" ht="15" customHeight="1">
      <c r="A5" s="4" t="inlineStr">
        <is>
          <t>10/05/2025</t>
        </is>
      </c>
      <c r="B5" s="4" t="inlineStr">
        <is>
          <t>Adobe</t>
        </is>
      </c>
      <c r="C5" s="4" t="inlineStr">
        <is>
          <t>Creative Cloud Subscription</t>
        </is>
      </c>
      <c r="D5" s="4" t="inlineStr">
        <is>
          <t>Software</t>
        </is>
      </c>
      <c r="E5" s="5" t="n">
        <v>54.99</v>
      </c>
      <c r="F5" s="4" t="inlineStr">
        <is>
          <t>Corporate Card</t>
        </is>
      </c>
      <c r="G5" s="4" t="inlineStr">
        <is>
          <t>Yes</t>
        </is>
      </c>
      <c r="H5" s="4" t="inlineStr">
        <is>
          <t>Monthly subscription</t>
        </is>
      </c>
    </row>
    <row r="6" ht="15" customHeight="1">
      <c r="A6" s="4" t="inlineStr">
        <is>
          <t>10/08/2025</t>
        </is>
      </c>
      <c r="B6" s="4" t="inlineStr">
        <is>
          <t>LinkedIn</t>
        </is>
      </c>
      <c r="C6" s="4" t="inlineStr">
        <is>
          <t>Premium Business Account</t>
        </is>
      </c>
      <c r="D6" s="4" t="inlineStr">
        <is>
          <t>Marketing</t>
        </is>
      </c>
      <c r="E6" s="5" t="n">
        <v>79.98999999999999</v>
      </c>
      <c r="F6" s="4" t="inlineStr">
        <is>
          <t>Corporate Card</t>
        </is>
      </c>
      <c r="G6" s="4" t="inlineStr">
        <is>
          <t>Yes</t>
        </is>
      </c>
      <c r="H6" s="4" t="inlineStr">
        <is>
          <t>Q4 recruitment campaign</t>
        </is>
      </c>
    </row>
    <row r="7" ht="15" customHeight="1">
      <c r="A7" s="4" t="inlineStr">
        <is>
          <t>10/10/2025</t>
        </is>
      </c>
      <c r="B7" s="4" t="inlineStr">
        <is>
          <t>The Smith Restaurant</t>
        </is>
      </c>
      <c r="C7" s="4" t="inlineStr">
        <is>
          <t>Client Lunch Meeting</t>
        </is>
      </c>
      <c r="D7" s="4" t="inlineStr">
        <is>
          <t>Meals &amp; Entertainment</t>
        </is>
      </c>
      <c r="E7" s="5" t="n">
        <v>185.5</v>
      </c>
      <c r="F7" s="4" t="inlineStr">
        <is>
          <t>Corporate Card</t>
        </is>
      </c>
      <c r="G7" s="4" t="inlineStr">
        <is>
          <t>Yes</t>
        </is>
      </c>
      <c r="H7" s="4" t="inlineStr">
        <is>
          <t>Meeting with TechCorp executives</t>
        </is>
      </c>
    </row>
    <row r="8" ht="15" customHeight="1">
      <c r="A8" s="4" t="inlineStr">
        <is>
          <t>10/12/2025</t>
        </is>
      </c>
      <c r="B8" s="4" t="inlineStr">
        <is>
          <t>Uber</t>
        </is>
      </c>
      <c r="C8" s="4" t="inlineStr">
        <is>
          <t>Airport Transportation</t>
        </is>
      </c>
      <c r="D8" s="4" t="inlineStr">
        <is>
          <t>Travel</t>
        </is>
      </c>
      <c r="E8" s="5" t="n">
        <v>67.25</v>
      </c>
      <c r="F8" s="4" t="inlineStr">
        <is>
          <t>Personal Card</t>
        </is>
      </c>
      <c r="G8" s="4" t="inlineStr">
        <is>
          <t>Yes</t>
        </is>
      </c>
      <c r="H8" s="4" t="inlineStr">
        <is>
          <t>Conference trip - reimbursable</t>
        </is>
      </c>
    </row>
    <row r="9" ht="15" customHeight="1">
      <c r="A9" s="6" t="n"/>
      <c r="B9" s="7" t="n"/>
      <c r="C9" s="7" t="n"/>
      <c r="D9" s="7" t="n"/>
      <c r="E9" s="7" t="n"/>
      <c r="F9" s="7" t="n"/>
      <c r="G9" s="7" t="n"/>
      <c r="H9" s="7" t="n"/>
    </row>
    <row r="11" ht="15" customHeight="1">
      <c r="A11" s="8" t="inlineStr">
        <is>
          <t>📋 Demo Task:</t>
        </is>
      </c>
      <c r="B11" s="20" t="n"/>
      <c r="C11" s="21" t="n"/>
      <c r="D11" s="9" t="n"/>
      <c r="E11" s="9" t="n"/>
      <c r="F11" s="9" t="n"/>
      <c r="G11" s="9" t="n"/>
      <c r="H11" s="9" t="n"/>
    </row>
    <row r="12" ht="22" customHeight="1">
      <c r="A12" s="22" t="inlineStr">
        <is>
          <t>Open the sidebar, click New agent in sidebar, then ask:</t>
        </is>
      </c>
      <c r="B12" s="20" t="n"/>
      <c r="C12" s="20" t="n"/>
      <c r="D12" s="20" t="n"/>
      <c r="E12" s="20" t="n"/>
      <c r="F12" s="20" t="n"/>
      <c r="G12" s="20" t="n"/>
      <c r="H12" s="21" t="n"/>
    </row>
    <row r="13" ht="28" customHeight="1">
      <c r="A13" s="23" t="inlineStr">
        <is>
          <t>Use @Demos/Expense Tracker/receipt.jpg to fill row 9 in this expense tracker.</t>
        </is>
      </c>
      <c r="B13" s="24" t="n"/>
      <c r="C13" s="24" t="n"/>
      <c r="D13" s="24" t="n"/>
      <c r="E13" s="24" t="n"/>
      <c r="F13" s="24" t="n"/>
      <c r="G13" s="24" t="n"/>
      <c r="H13" s="25" t="n"/>
    </row>
    <row r="14" ht="22" customHeight="1">
      <c r="A14" s="26" t="n"/>
      <c r="B14" s="27" t="n"/>
      <c r="C14" s="27" t="n"/>
      <c r="D14" s="27" t="n"/>
      <c r="E14" s="27" t="n"/>
      <c r="F14" s="27" t="n"/>
      <c r="G14" s="27" t="n"/>
      <c r="H14" s="28" t="n"/>
    </row>
    <row r="15" ht="15.75" customHeight="1">
      <c r="A15" s="12" t="inlineStr">
        <is>
          <t>SUMMARY</t>
        </is>
      </c>
    </row>
    <row r="16" ht="15" customHeight="1">
      <c r="A16" s="13" t="inlineStr">
        <is>
          <t>Total Expenses:</t>
        </is>
      </c>
      <c r="B16" s="14">
        <f>SUM(E5:E9)</f>
        <v/>
      </c>
      <c r="D16" s="13" t="inlineStr">
        <is>
          <t>By Category:</t>
        </is>
      </c>
      <c r="E16" s="15" t="n"/>
    </row>
    <row r="17" ht="15" customHeight="1">
      <c r="A17" s="16" t="inlineStr">
        <is>
          <t>Reimbursable:</t>
        </is>
      </c>
      <c r="B17" s="17">
        <f>SUMIF(F5:F9,"Personal Card",E5:E9)</f>
        <v/>
      </c>
      <c r="D17" s="18" t="inlineStr">
        <is>
          <t>Software</t>
        </is>
      </c>
      <c r="E17" s="19">
        <f>SUMIF(D5:D9,"Software",E5:E9)</f>
        <v/>
      </c>
    </row>
    <row r="18" ht="15" customHeight="1">
      <c r="A18" s="16" t="inlineStr">
        <is>
          <t>Corporate Card:</t>
        </is>
      </c>
      <c r="B18" s="17">
        <f>SUMIF(F5:F9,"Corporate Card",E5:E9)</f>
        <v/>
      </c>
      <c r="D18" s="18" t="inlineStr">
        <is>
          <t>Marketing</t>
        </is>
      </c>
      <c r="E18" s="19">
        <f>SUMIF(D5:D9,"Marketing",E5:E9)</f>
        <v/>
      </c>
    </row>
    <row r="19" ht="15" customHeight="1">
      <c r="A19" s="15" t="n"/>
      <c r="B19" s="15" t="n"/>
      <c r="D19" s="18" t="inlineStr">
        <is>
          <t>Meals &amp; Entertainment</t>
        </is>
      </c>
      <c r="E19" s="19">
        <f>SUMIF(D5:D9,"Meals &amp; Entertainment",E5:E9)</f>
        <v/>
      </c>
    </row>
    <row r="20" ht="15" customHeight="1">
      <c r="A20" s="15" t="n"/>
      <c r="B20" s="15" t="n"/>
      <c r="D20" s="18" t="inlineStr">
        <is>
          <t>Travel</t>
        </is>
      </c>
      <c r="E20" s="19">
        <f>SUMIF(D5:D9,"Travel",E5:E9)</f>
        <v/>
      </c>
    </row>
    <row r="21" ht="15" customHeight="1">
      <c r="A21" s="15" t="n"/>
      <c r="B21" s="15" t="n"/>
      <c r="D21" s="18" t="inlineStr">
        <is>
          <t>Office Supplies</t>
        </is>
      </c>
      <c r="E21" s="19">
        <f>SUMIF(D5:D9,"Office Supplies",E5:E9)</f>
        <v/>
      </c>
    </row>
  </sheetData>
  <mergeCells count="6">
    <mergeCell ref="A12:H12"/>
    <mergeCell ref="A13:H14"/>
    <mergeCell ref="A11:C11"/>
    <mergeCell ref="A2:H2"/>
    <mergeCell ref="A15:D15"/>
    <mergeCell ref="A1:H1"/>
  </mergeCells>
  <printOptions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2025-10-16T21:51:50Z</dcterms:created>
  <dcterms:modified xmlns:dcterms="http://purl.org/dc/terms/" xmlns:xsi="http://www.w3.org/2001/XMLSchema-instance" xsi:type="dcterms:W3CDTF">2026-05-13T20:06:14Z</dcterms:modified>
  <cp:lastModifiedBy>Anonymous User</cp:lastModifiedBy>
  <cp:revision>2</cp:revision>
</cp:coreProperties>
</file>