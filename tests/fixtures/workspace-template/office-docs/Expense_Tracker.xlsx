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Expense Tracker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<sst xmlns="http://schemas.openxmlformats.org/spreadsheetml/2006/main" count="43" uniqueCount="43">
  <si>
    <t xml:space="preserve">MONTHLY EXPENSE TRACKER - October 2025</t>
  </si>
  <si>
    <t xml:space="preserve">Employee: John Smith | Department: Marketing | Manager: Lisa Anderson</t>
  </si>
  <si>
    <t>Date</t>
  </si>
  <si>
    <t>Vendor</t>
  </si>
  <si>
    <t>Description</t>
  </si>
  <si>
    <t>Category</t>
  </si>
  <si>
    <t>Amount</t>
  </si>
  <si>
    <t xml:space="preserve">Payment Method</t>
  </si>
  <si>
    <t>Receipt</t>
  </si>
  <si>
    <t>Notes</t>
  </si>
  <si>
    <t>10/05/2025</t>
  </si>
  <si>
    <t>Adobe</t>
  </si>
  <si>
    <t xml:space="preserve">Creative Cloud Subscription</t>
  </si>
  <si>
    <t>Software</t>
  </si>
  <si>
    <t xml:space="preserve">Corporate Card</t>
  </si>
  <si>
    <t>Yes</t>
  </si>
  <si>
    <t xml:space="preserve">Monthly subscription</t>
  </si>
  <si>
    <t>10/08/2025</t>
  </si>
  <si>
    <t>LinkedIn</t>
  </si>
  <si>
    <t xml:space="preserve">Premium Business Account</t>
  </si>
  <si>
    <t>Marketing</t>
  </si>
  <si>
    <t xml:space="preserve">Q4 recruitment campaign</t>
  </si>
  <si>
    <t>10/10/2025</t>
  </si>
  <si>
    <t xml:space="preserve">The Smith Restaurant</t>
  </si>
  <si>
    <t xml:space="preserve">Client Lunch Meeting</t>
  </si>
  <si>
    <t xml:space="preserve">Meals &amp; Entertainment</t>
  </si>
  <si>
    <t xml:space="preserve">Meeting with TechCorp executives</t>
  </si>
  <si>
    <t>10/12/2025</t>
  </si>
  <si>
    <t>Uber</t>
  </si>
  <si>
    <t xml:space="preserve">Airport Transportation</t>
  </si>
  <si>
    <t>Travel</t>
  </si>
  <si>
    <t xml:space="preserve">Personal Card</t>
  </si>
  <si>
    <t xml:space="preserve">Conference trip - reimbursable</t>
  </si>
  <si>
    <t>10/14/2025</t>
  </si>
  <si>
    <t xml:space="preserve">📋 Demo Task:</t>
  </si>
  <si>
    <t xml:space="preserve">Select row 9 (the empty yellow row), then ask the agent on the right:</t>
  </si>
  <si>
    <t xml:space="preserve">"Please fill out this expense row using the information from @receipt.jpg."</t>
  </si>
  <si>
    <t>SUMMARY</t>
  </si>
  <si>
    <t xml:space="preserve">Total Expenses:</t>
  </si>
  <si>
    <t xml:space="preserve">By Category:</t>
  </si>
  <si>
    <t>Reimbursable:</t>
  </si>
  <si>
    <t xml:space="preserve">Corporate Card:</t>
  </si>
  <si>
    <t xml:space="preserve">Office Supplies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</si>
</sst>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\$#,##0.00"/>
  </numFmts>
  <fonts count="13">
    <font>
      <sz val="11.000000"/>
      <color theme="1"/>
      <name val="Calibri"/>
    </font>
    <font>
      <sz val="10.000000"/>
      <name val="Arial"/>
    </font>
    <font>
      <b/>
      <sz val="14.000000"/>
      <color rgb="FF2E5090"/>
      <name val="Cambria"/>
    </font>
    <font>
      <sz val="10.000000"/>
      <color rgb="FF666666"/>
      <name val="Cambria"/>
    </font>
    <font>
      <b/>
      <sz val="11.000000"/>
      <name val="Cambria"/>
    </font>
    <font>
      <sz val="10.000000"/>
      <name val="Cambria"/>
    </font>
    <font>
      <sz val="10.000000"/>
      <color indexed="4"/>
      <name val="Cambria"/>
    </font>
    <font>
      <b/>
      <sz val="11.000000"/>
      <color rgb="FFCC6600"/>
      <name val="Cambria"/>
    </font>
    <font>
      <sz val="10.000000"/>
      <color rgb="FFCC6600"/>
      <name val="Cambria"/>
    </font>
    <font>
      <b/>
      <sz val="10.000000"/>
      <color rgb="FFCC6600"/>
      <name val="Cambria"/>
    </font>
    <font>
      <b/>
      <sz val="12.000000"/>
      <color rgb="FF2E5090"/>
      <name val="Cambria"/>
    </font>
    <font>
      <b/>
      <sz val="10.000000"/>
      <name val="Cambria"/>
    </font>
    <font>
      <sz val="9.000000"/>
      <name val="Cambria"/>
    </font>
  </fonts>
  <fills count="5">
    <fill>
      <patternFill patternType="none"/>
    </fill>
    <fill>
      <patternFill patternType="gray125"/>
    </fill>
    <fill>
      <patternFill patternType="solid">
        <fgColor rgb="FF2E5090"/>
      </patternFill>
    </fill>
    <fill>
      <patternFill patternType="solid">
        <fgColor indexed="5"/>
      </patternFill>
    </fill>
    <fill>
      <patternFill patternType="solid">
        <fgColor rgb="FFFFF8D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6">
    <xf fontId="0" fillId="0" borderId="0" numFmtId="0" applyNumberFormat="1" applyFont="1" applyFill="1" applyBorder="1"/>
    <xf fontId="1" fillId="0" borderId="0" numFmtId="9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</cellStyleXfs>
  <cellXfs count="20">
    <xf fontId="0" fillId="0" borderId="0" numFmtId="0" xfId="0"/>
    <xf fontId="2" fillId="0" borderId="0" numFmtId="0" xfId="0" applyFont="1" applyAlignment="1">
      <alignment horizontal="center" vertical="center"/>
    </xf>
    <xf fontId="3" fillId="0" borderId="0" numFmtId="0" xfId="0" applyFont="1" applyAlignment="1">
      <alignment horizontal="center" vertical="center"/>
    </xf>
    <xf fontId="4" fillId="2" borderId="1" numFmtId="0" xfId="0" applyFont="1" applyFill="1" applyBorder="1" applyAlignment="1">
      <alignment horizontal="center" vertical="center"/>
    </xf>
    <xf fontId="5" fillId="0" borderId="1" numFmtId="0" xfId="0" applyFont="1" applyBorder="1" applyAlignment="1">
      <alignment vertical="center"/>
    </xf>
    <xf fontId="0" fillId="0" borderId="1" numFmtId="164" xfId="0" applyNumberFormat="1" applyBorder="1" applyAlignment="1">
      <alignment vertical="center"/>
    </xf>
    <xf fontId="6" fillId="3" borderId="1" numFmtId="0" xfId="0" applyFont="1" applyFill="1" applyBorder="1" applyAlignment="1">
      <alignment vertical="center"/>
    </xf>
    <xf fontId="0" fillId="3" borderId="1" numFmtId="0" xfId="0" applyFill="1" applyBorder="1" applyAlignment="1">
      <alignment vertical="center"/>
    </xf>
    <xf fontId="7" fillId="4" borderId="1" numFmtId="0" xfId="0" applyFont="1" applyFill="1" applyBorder="1"/>
    <xf fontId="0" fillId="4" borderId="1" numFmtId="0" xfId="0" applyFill="1" applyBorder="1"/>
    <xf fontId="8" fillId="4" borderId="1" numFmtId="0" xfId="0" applyFont="1" applyFill="1" applyBorder="1" applyAlignment="1">
      <alignment vertical="top" wrapText="1"/>
    </xf>
    <xf fontId="9" fillId="4" borderId="1" numFmtId="0" xfId="0" applyFont="1" applyFill="1" applyBorder="1" applyAlignment="1">
      <alignment vertical="top" wrapText="1"/>
    </xf>
    <xf fontId="10" fillId="0" borderId="0" numFmtId="0" xfId="0" applyFont="1"/>
    <xf fontId="11" fillId="0" borderId="1" numFmtId="0" xfId="0" applyFont="1" applyBorder="1"/>
    <xf fontId="11" fillId="0" borderId="1" numFmtId="164" xfId="0" applyNumberFormat="1" applyFont="1" applyBorder="1"/>
    <xf fontId="0" fillId="0" borderId="1" numFmtId="0" xfId="0" applyBorder="1"/>
    <xf fontId="5" fillId="0" borderId="1" numFmtId="0" xfId="0" applyFont="1" applyBorder="1"/>
    <xf fontId="5" fillId="0" borderId="1" numFmtId="164" xfId="0" applyNumberFormat="1" applyFont="1" applyBorder="1"/>
    <xf fontId="12" fillId="0" borderId="1" numFmtId="0" xfId="0" applyFont="1" applyBorder="1"/>
    <xf fontId="12" fillId="0" borderId="1" numFmtId="164" xfId="0" applyNumberFormat="1" applyFont="1" applyBorder="1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ColWidth="8.6842857142857106" defaultRowHeight="14.25"/>
  <cols>
    <col customWidth="1" min="1" max="1" width="12"/>
    <col customWidth="1" min="2" max="2" width="20"/>
    <col customWidth="1" min="3" max="3" width="30"/>
    <col customWidth="1" min="4" max="4" width="18"/>
    <col customWidth="1" min="5" max="5" width="12"/>
    <col customWidth="1" min="6" max="6" width="16"/>
    <col customWidth="1" min="7" max="7" width="10"/>
    <col customWidth="1" min="8" max="8" width="25"/>
  </cols>
  <sheetData>
    <row r="1" ht="18">
      <c r="A1" s="1" t="s">
        <v>0</v>
      </c>
      <c r="B1" s="1"/>
      <c r="C1" s="1"/>
      <c r="D1" s="1"/>
      <c r="E1" s="1"/>
      <c r="F1" s="1"/>
      <c r="G1" s="1"/>
      <c r="H1" s="1"/>
    </row>
    <row r="2" ht="15">
      <c r="A2" s="2" t="s">
        <v>1</v>
      </c>
      <c r="B2" s="2"/>
      <c r="C2" s="2"/>
      <c r="D2" s="2"/>
      <c r="E2" s="2"/>
      <c r="F2" s="2"/>
      <c r="G2" s="2"/>
      <c r="H2" s="2"/>
    </row>
    <row r="4" ht="1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15">
      <c r="A5" s="4" t="s">
        <v>10</v>
      </c>
      <c r="B5" s="4" t="s">
        <v>11</v>
      </c>
      <c r="C5" s="4" t="s">
        <v>12</v>
      </c>
      <c r="D5" s="4" t="s">
        <v>13</v>
      </c>
      <c r="E5" s="5">
        <v>54.990000000000002</v>
      </c>
      <c r="F5" s="4" t="s">
        <v>14</v>
      </c>
      <c r="G5" s="4" t="s">
        <v>15</v>
      </c>
      <c r="H5" s="4" t="s">
        <v>16</v>
      </c>
    </row>
    <row r="6" ht="15">
      <c r="A6" s="4" t="s">
        <v>17</v>
      </c>
      <c r="B6" s="4" t="s">
        <v>18</v>
      </c>
      <c r="C6" s="4" t="s">
        <v>19</v>
      </c>
      <c r="D6" s="4" t="s">
        <v>20</v>
      </c>
      <c r="E6" s="5">
        <v>79.989999999999995</v>
      </c>
      <c r="F6" s="4" t="s">
        <v>14</v>
      </c>
      <c r="G6" s="4" t="s">
        <v>15</v>
      </c>
      <c r="H6" s="4" t="s">
        <v>21</v>
      </c>
    </row>
    <row r="7" ht="15">
      <c r="A7" s="4" t="s">
        <v>22</v>
      </c>
      <c r="B7" s="4" t="s">
        <v>23</v>
      </c>
      <c r="C7" s="4" t="s">
        <v>24</v>
      </c>
      <c r="D7" s="4" t="s">
        <v>25</v>
      </c>
      <c r="E7" s="5">
        <v>185.5</v>
      </c>
      <c r="F7" s="4" t="s">
        <v>14</v>
      </c>
      <c r="G7" s="4" t="s">
        <v>15</v>
      </c>
      <c r="H7" s="4" t="s">
        <v>26</v>
      </c>
    </row>
    <row r="8" ht="15">
      <c r="A8" s="4" t="s">
        <v>27</v>
      </c>
      <c r="B8" s="4" t="s">
        <v>28</v>
      </c>
      <c r="C8" s="4" t="s">
        <v>29</v>
      </c>
      <c r="D8" s="4" t="s">
        <v>30</v>
      </c>
      <c r="E8" s="5">
        <v>67.25</v>
      </c>
      <c r="F8" s="4" t="s">
        <v>31</v>
      </c>
      <c r="G8" s="4" t="s">
        <v>15</v>
      </c>
      <c r="H8" s="4" t="s">
        <v>32</v>
      </c>
    </row>
    <row r="9" ht="15">
      <c r="A9" s="6" t="s">
        <v>33</v>
      </c>
      <c r="B9" s="7"/>
      <c r="C9" s="7"/>
      <c r="D9" s="7"/>
      <c r="E9" s="7"/>
      <c r="F9" s="7"/>
      <c r="G9" s="7"/>
      <c r="H9" s="7"/>
    </row>
    <row r="11" ht="15">
      <c r="A11" s="8" t="s">
        <v>34</v>
      </c>
      <c r="B11" s="8"/>
      <c r="C11" s="8"/>
      <c r="D11" s="9"/>
      <c r="E11" s="9"/>
      <c r="F11" s="9"/>
      <c r="G11" s="9"/>
      <c r="H11" s="9"/>
    </row>
    <row r="12" ht="15" customHeight="1">
      <c r="A12" s="10" t="s">
        <v>35</v>
      </c>
      <c r="B12" s="10"/>
      <c r="C12" s="10"/>
      <c r="D12" s="10"/>
      <c r="E12" s="10"/>
      <c r="F12" s="10"/>
      <c r="G12" s="10"/>
      <c r="H12" s="10"/>
    </row>
    <row r="13" ht="15">
      <c r="A13" s="11" t="s">
        <v>36</v>
      </c>
      <c r="B13" s="11"/>
      <c r="C13" s="11"/>
      <c r="D13" s="11"/>
      <c r="E13" s="11"/>
      <c r="F13" s="11"/>
      <c r="G13" s="11"/>
      <c r="H13" s="11"/>
    </row>
    <row r="15" ht="15.75">
      <c r="A15" s="12" t="s">
        <v>37</v>
      </c>
      <c r="B15" s="12"/>
      <c r="C15" s="12"/>
      <c r="D15" s="12"/>
    </row>
    <row r="16" ht="15">
      <c r="A16" s="13" t="s">
        <v>38</v>
      </c>
      <c r="B16" s="14">
        <f>SUM(E5:E9)</f>
        <v>387.73000000000002</v>
      </c>
      <c r="D16" s="13" t="s">
        <v>39</v>
      </c>
      <c r="E16" s="15"/>
    </row>
    <row r="17" ht="15">
      <c r="A17" s="16" t="s">
        <v>40</v>
      </c>
      <c r="B17" s="17">
        <f>SUMIF(F5:F9,"Personal Card",E5:E9)</f>
        <v>67.25</v>
      </c>
      <c r="D17" s="18" t="s">
        <v>13</v>
      </c>
      <c r="E17" s="19">
        <f>SUMIF(D5:D9,"Software",E5:E9)</f>
        <v>54.990000000000002</v>
      </c>
    </row>
    <row r="18" ht="15">
      <c r="A18" s="16" t="s">
        <v>41</v>
      </c>
      <c r="B18" s="17">
        <f>SUMIF(F5:F9,"Corporate Card",E5:E9)</f>
        <v>320.48000000000002</v>
      </c>
      <c r="D18" s="18" t="s">
        <v>20</v>
      </c>
      <c r="E18" s="19">
        <f>SUMIF(D5:D9,"Marketing",E5:E9)</f>
        <v>79.989999999999995</v>
      </c>
    </row>
    <row r="19" ht="15">
      <c r="A19" s="15"/>
      <c r="B19" s="15"/>
      <c r="D19" s="18" t="s">
        <v>25</v>
      </c>
      <c r="E19" s="19">
        <f>SUMIF(D5:D9,"Meals &amp; Entertainment",E5:E9)</f>
        <v>185.5</v>
      </c>
    </row>
    <row r="20" ht="15">
      <c r="A20" s="15"/>
      <c r="B20" s="15"/>
      <c r="D20" s="18" t="s">
        <v>30</v>
      </c>
      <c r="E20" s="19">
        <f>SUMIF(D5:D9,"Travel",E5:E9)</f>
        <v>67.25</v>
      </c>
    </row>
    <row r="21" ht="15">
      <c r="A21" s="15"/>
      <c r="B21" s="15"/>
      <c r="D21" s="18" t="s">
        <v>42</v>
      </c>
      <c r="E21" s="19">
        <f>SUMIF(D5:D9,"Office Supplies",E5:E9)</f>
        <v>0</v>
      </c>
    </row>
  </sheetData>
  <mergeCells count="6">
    <mergeCell ref="A1:H1"/>
    <mergeCell ref="A2:H2"/>
    <mergeCell ref="A11:C11"/>
    <mergeCell ref="A12:H12"/>
    <mergeCell ref="A13:H13"/>
    <mergeCell ref="A15:D15"/>
  </mergeCells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onlyoffice/9.0.4.50</Application>
  <DocSecurity>0</DocSecurity>
  <HeadingPairs>
    <vt:vector size="0" baseType="variant"/>
  </HeadingPairs>
  <TitlesOfParts>
    <vt:vector size="0" baseType="lpstr"/>
  </TitlesOfParts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dc:language>en-US</dc:language>
  <cp:lastModifiedBy>Anonymous User</cp:lastModifiedBy>
  <cp:revision>2</cp:revision>
  <dcterms:created xsi:type="dcterms:W3CDTF">2025-10-16T21:51:50Z</dcterms:created>
  <dcterms:modified xsi:type="dcterms:W3CDTF">2025-10-31T05:22:34Z</dcterms:modified>
  <cp:category/>
</cp:coreProperties>
</file>